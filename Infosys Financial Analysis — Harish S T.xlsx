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 and Projects (ASAP Emergency)\"/>
    </mc:Choice>
  </mc:AlternateContent>
  <xr:revisionPtr revIDLastSave="0" documentId="8_{003EAB98-8CD8-4FC8-8373-2BAAFD104A38}" xr6:coauthVersionLast="47" xr6:coauthVersionMax="47" xr10:uidLastSave="{00000000-0000-0000-0000-000000000000}"/>
  <bookViews>
    <workbookView xWindow="-120" yWindow="-120" windowWidth="20730" windowHeight="11040" xr2:uid="{B00C9F83-564B-4A2E-8596-7EC56FEC670D}"/>
  </bookViews>
  <sheets>
    <sheet name="Raw Data" sheetId="1" r:id="rId1"/>
    <sheet name="Ratio Analys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" l="1"/>
  <c r="E7" i="2"/>
  <c r="E10" i="2"/>
  <c r="E3" i="2"/>
  <c r="D10" i="2"/>
  <c r="C10" i="2"/>
  <c r="D7" i="2"/>
  <c r="C7" i="2"/>
  <c r="D6" i="2"/>
  <c r="C6" i="2"/>
  <c r="D3" i="2"/>
  <c r="C3" i="2"/>
</calcChain>
</file>

<file path=xl/sharedStrings.xml><?xml version="1.0" encoding="utf-8"?>
<sst xmlns="http://schemas.openxmlformats.org/spreadsheetml/2006/main" count="43" uniqueCount="37">
  <si>
    <t>Income Statement (INR Crores)</t>
  </si>
  <si>
    <t>Particulars</t>
  </si>
  <si>
    <t>FY2024</t>
  </si>
  <si>
    <t>FY2023</t>
  </si>
  <si>
    <t>Revenue</t>
  </si>
  <si>
    <t>Operating Expenses</t>
  </si>
  <si>
    <t>EBIT</t>
  </si>
  <si>
    <t>Interest</t>
  </si>
  <si>
    <t>PBT</t>
  </si>
  <si>
    <t>Tax</t>
  </si>
  <si>
    <t>PAT (Net Profit)</t>
  </si>
  <si>
    <t>Balance Sheet (INR Crores)</t>
  </si>
  <si>
    <t>Total Assets</t>
  </si>
  <si>
    <t>Current Assets</t>
  </si>
  <si>
    <t>Current Liabilities</t>
  </si>
  <si>
    <t>Total Debt</t>
  </si>
  <si>
    <t>Shareholders Equity</t>
  </si>
  <si>
    <t>Inventory</t>
  </si>
  <si>
    <t>—</t>
  </si>
  <si>
    <t>Name</t>
  </si>
  <si>
    <t>Formula</t>
  </si>
  <si>
    <t>Liquidity Ratio</t>
  </si>
  <si>
    <t>Current Ratio</t>
  </si>
  <si>
    <t>Current Assets ÷ Current Liabilities</t>
  </si>
  <si>
    <t>Profitability Ratio</t>
  </si>
  <si>
    <t>Net Profit Margin</t>
  </si>
  <si>
    <t>Profit After tax / Revenue * 100</t>
  </si>
  <si>
    <t xml:space="preserve">Return on Equity </t>
  </si>
  <si>
    <t>Profit After tax / Shareholders Equity × 100</t>
  </si>
  <si>
    <t>Infosys Ratio Analysis</t>
  </si>
  <si>
    <t>Solvency Ratios</t>
  </si>
  <si>
    <t>Debt to Equity Ratio</t>
  </si>
  <si>
    <t>Total Debt / Shareholders Equity</t>
  </si>
  <si>
    <t xml:space="preserve"> </t>
  </si>
  <si>
    <t>% Change</t>
  </si>
  <si>
    <t>Infosys Ltd — Financial Analysis Dashboard FY2023-24</t>
  </si>
  <si>
    <t>Analysis by: Harish S T | Source: Infosys Annual Report FY2023-24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</si>
</sst>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Liquidity - Current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8502369495479731"/>
          <c:w val="0.8592360017497813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'Ratio Analysis'!$C$1:$C$2</c:f>
              <c:strCache>
                <c:ptCount val="2"/>
                <c:pt idx="0">
                  <c:v>FY2024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'Ratio Analysis'!$A$3:$B$11</c15:sqref>
                  </c15:fullRef>
                  <c15:levelRef>
                    <c15:sqref>'Ratio Analysis'!$A$3:$A$11</c15:sqref>
                  </c15:levelRef>
                </c:ext>
              </c:extLst>
              <c:f>'Ratio Analysis'!$A$3</c:f>
              <c:strCache>
                <c:ptCount val="1"/>
                <c:pt idx="0">
                  <c:v>Current Ratio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Analysis'!$C$3:$C$11</c15:sqref>
                  </c15:fullRef>
                </c:ext>
              </c:extLst>
              <c:f>'Ratio Analysis'!$C$3</c:f>
              <c:numCache>
                <c:formatCode>General</c:formatCode>
                <c:ptCount val="1"/>
                <c:pt idx="0">
                  <c:v>1.7610273590173087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3-406B-BB10-554C8B704E6A}"/>
            </c:ext>
          </c:extLst>
        </c:ser>
        <c:ser>
          <c:idx val="1"/>
          <c:order val="1"/>
          <c:tx>
            <c:strRef>
              <c:f>'Ratio Analysis'!$D$1:$D$2</c:f>
              <c:strCache>
                <c:ptCount val="2"/>
                <c:pt idx="0">
                  <c:v>FY2023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'Ratio Analysis'!$A$3:$B$11</c15:sqref>
                  </c15:fullRef>
                  <c15:levelRef>
                    <c15:sqref>'Ratio Analysis'!$A$3:$A$11</c15:sqref>
                  </c15:levelRef>
                </c:ext>
              </c:extLst>
              <c:f>'Ratio Analysis'!$A$3</c:f>
              <c:strCache>
                <c:ptCount val="1"/>
                <c:pt idx="0">
                  <c:v>Current Ratio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Analysis'!$D$3:$D$11</c15:sqref>
                  </c15:fullRef>
                </c:ext>
              </c:extLst>
              <c:f>'Ratio Analysis'!$D$3</c:f>
              <c:numCache>
                <c:formatCode>General</c:formatCode>
                <c:ptCount val="1"/>
                <c:pt idx="0">
                  <c:v>1.8210587933999196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3-406B-BB10-554C8B704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4217152"/>
        <c:axId val="1354219072"/>
      </c:barChart>
      <c:catAx>
        <c:axId val="13542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19072"/>
        <c:crosses val="autoZero"/>
        <c:auto val="1"/>
        <c:lblAlgn val="ctr"/>
        <c:lblOffset val="100"/>
        <c:noMultiLvlLbl val="0"/>
      </c:catAx>
      <c:valAx>
        <c:axId val="13542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17152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Analysis'!$C$1:$C$2</c:f>
              <c:strCache>
                <c:ptCount val="2"/>
                <c:pt idx="0">
                  <c:v>FY2024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'Ratio Analysis'!$A$3:$B$10</c15:sqref>
                  </c15:fullRef>
                  <c15:levelRef>
                    <c15:sqref>'Ratio Analysis'!$A$3:$A$10</c15:sqref>
                  </c15:levelRef>
                </c:ext>
              </c:extLst>
              <c:f>'Ratio Analysis'!$A$6:$A$7</c:f>
              <c:strCache>
                <c:ptCount val="2"/>
                <c:pt idx="0">
                  <c:v>Net Profit Margin</c:v>
                </c:pt>
                <c:pt idx="1">
                  <c:v>Return on Equity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Analysis'!$C$3:$C$10</c15:sqref>
                  </c15:fullRef>
                </c:ext>
              </c:extLst>
              <c:f>'Ratio Analysis'!$C$6:$C$7</c:f>
              <c:numCache>
                <c:formatCode>General</c:formatCode>
                <c:ptCount val="2"/>
                <c:pt idx="0">
                  <c:v>16.04346977288996</c:v>
                </c:pt>
                <c:pt idx="1">
                  <c:v>40.012334458582188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C-4FFF-BB30-1BC6F98FBB8F}"/>
            </c:ext>
          </c:extLst>
        </c:ser>
        <c:ser>
          <c:idx val="1"/>
          <c:order val="1"/>
          <c:tx>
            <c:strRef>
              <c:f>'Ratio Analysis'!$D$1:$D$2</c:f>
              <c:strCache>
                <c:ptCount val="2"/>
                <c:pt idx="0">
                  <c:v>FY2023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'Ratio Analysis'!$A$3:$B$10</c15:sqref>
                  </c15:fullRef>
                  <c15:levelRef>
                    <c15:sqref>'Ratio Analysis'!$A$3:$A$10</c15:sqref>
                  </c15:levelRef>
                </c:ext>
              </c:extLst>
              <c:f>'Ratio Analysis'!$A$6:$A$7</c:f>
              <c:strCache>
                <c:ptCount val="2"/>
                <c:pt idx="0">
                  <c:v>Net Profit Margin</c:v>
                </c:pt>
                <c:pt idx="1">
                  <c:v>Return on Equity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Analysis'!$D$3:$D$10</c15:sqref>
                  </c15:fullRef>
                </c:ext>
              </c:extLst>
              <c:f>'Ratio Analysis'!$D$6:$D$7</c:f>
              <c:numCache>
                <c:formatCode>General</c:formatCode>
                <c:ptCount val="2"/>
                <c:pt idx="0">
                  <c:v>16.055380296660694</c:v>
                </c:pt>
                <c:pt idx="1">
                  <c:v>42.795394282808466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C-4FFF-BB30-1BC6F98FB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9344320"/>
        <c:axId val="1529344800"/>
      </c:barChart>
      <c:catAx>
        <c:axId val="15293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344800"/>
        <c:crosses val="autoZero"/>
        <c:auto val="1"/>
        <c:lblAlgn val="ctr"/>
        <c:lblOffset val="100"/>
        <c:noMultiLvlLbl val="0"/>
      </c:catAx>
      <c:valAx>
        <c:axId val="15293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344320"/>
        <c:crosses val="autoZero"/>
        <c:crossBetween val="between"/>
        <c:majorUnit val="5"/>
        <c:min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Solvency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Analysis'!$C$1:$C$2</c:f>
              <c:strCache>
                <c:ptCount val="2"/>
                <c:pt idx="0">
                  <c:v>FY2024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'Ratio Analysis'!$A$3:$B$10</c15:sqref>
                  </c15:fullRef>
                  <c15:levelRef>
                    <c15:sqref>'Ratio Analysis'!$A$3:$A$10</c15:sqref>
                  </c15:levelRef>
                </c:ext>
              </c:extLst>
              <c:f>'Ratio Analysis'!$A$10</c:f>
              <c:strCache>
                <c:ptCount val="1"/>
                <c:pt idx="0">
                  <c:v>Debt to Equity Ratio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Analysis'!$C$3:$C$10</c15:sqref>
                  </c15:fullRef>
                </c:ext>
              </c:extLst>
              <c:f>'Ratio Analysis'!$C$10</c:f>
              <c:numCache>
                <c:formatCode>General</c:formatCode>
                <c:ptCount val="1"/>
                <c:pt idx="0">
                  <c:v>5.9383926252921319E-2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B-46C1-987C-9BD2C598C303}"/>
            </c:ext>
          </c:extLst>
        </c:ser>
        <c:ser>
          <c:idx val="1"/>
          <c:order val="1"/>
          <c:tx>
            <c:strRef>
              <c:f>'Ratio Analysis'!$D$1:$D$2</c:f>
              <c:strCache>
                <c:ptCount val="2"/>
                <c:pt idx="0">
                  <c:v>FY2023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'Ratio Analysis'!$A$3:$B$10</c15:sqref>
                  </c15:fullRef>
                  <c15:levelRef>
                    <c15:sqref>'Ratio Analysis'!$A$3:$A$10</c15:sqref>
                  </c15:levelRef>
                </c:ext>
              </c:extLst>
              <c:f>'Ratio Analysis'!$A$10</c:f>
              <c:strCache>
                <c:ptCount val="1"/>
                <c:pt idx="0">
                  <c:v>Debt to Equity Ratio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Analysis'!$D$3:$D$10</c15:sqref>
                  </c15:fullRef>
                </c:ext>
              </c:extLst>
              <c:f>'Ratio Analysis'!$D$10</c:f>
              <c:numCache>
                <c:formatCode>General</c:formatCode>
                <c:ptCount val="1"/>
                <c:pt idx="0">
                  <c:v>6.3764483672950498E-2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B-46C1-987C-9BD2C598C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327968"/>
        <c:axId val="1240328448"/>
      </c:barChart>
      <c:catAx>
        <c:axId val="124032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28448"/>
        <c:crosses val="autoZero"/>
        <c:auto val="1"/>
        <c:lblAlgn val="ctr"/>
        <c:lblOffset val="100"/>
        <c:noMultiLvlLbl val="0"/>
      </c:catAx>
      <c:valAx>
        <c:axId val="12403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2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71544A-E15C-448B-BE18-646507D40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336176</xdr:colOff>
      <xdr:row>18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09DCF8-209B-478A-ACCD-3BFF8C44E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590711</xdr:colOff>
      <xdr:row>20</xdr:row>
      <xdr:rowOff>4657</xdr:rowOff>
    </xdr:from>
    <xdr:to>
      <xdr:col>8</xdr:col>
      <xdr:colOff>321771</xdr:colOff>
      <xdr:row>34</xdr:row>
      <xdr:rowOff>80857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D18992-4719-4D1B-A8A7-6330AA465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E13A-983B-43E6-A33D-6F94A2BF4850}">
  <dimension ref="B1:H12"/>
  <sheetViews>
    <sheetView tabSelected="1" workbookViewId="0">
      <selection activeCell="K7" sqref="K7"/>
    </sheetView>
  </sheetViews>
  <sheetFormatPr defaultRowHeight="15" x14ac:dyDescent="0.25"/>
  <cols>
    <col min="2" max="2" width="16.42578125" customWidth="1"/>
    <col min="3" max="4" width="22.140625" customWidth="1"/>
    <col min="6" max="6" width="26.42578125" customWidth="1"/>
    <col min="7" max="7" width="19" customWidth="1"/>
    <col min="8" max="8" width="19.28515625" customWidth="1"/>
  </cols>
  <sheetData>
    <row r="1" spans="2:8" x14ac:dyDescent="0.25">
      <c r="D1" s="2" t="s">
        <v>29</v>
      </c>
      <c r="E1" s="7"/>
      <c r="F1" s="7"/>
    </row>
    <row r="3" spans="2:8" x14ac:dyDescent="0.25">
      <c r="B3" s="2" t="s">
        <v>0</v>
      </c>
      <c r="C3" s="2"/>
      <c r="D3" s="2"/>
      <c r="F3" s="2" t="s">
        <v>11</v>
      </c>
      <c r="G3" s="2"/>
      <c r="H3" s="2"/>
    </row>
    <row r="5" spans="2:8" ht="30" customHeight="1" x14ac:dyDescent="0.25">
      <c r="B5" s="3" t="s">
        <v>1</v>
      </c>
      <c r="C5" s="3" t="s">
        <v>2</v>
      </c>
      <c r="D5" s="3" t="s">
        <v>3</v>
      </c>
      <c r="F5" s="3" t="s">
        <v>1</v>
      </c>
      <c r="G5" s="3" t="s">
        <v>2</v>
      </c>
      <c r="H5" s="3" t="s">
        <v>3</v>
      </c>
    </row>
    <row r="6" spans="2:8" ht="30" x14ac:dyDescent="0.25">
      <c r="B6" s="4" t="s">
        <v>4</v>
      </c>
      <c r="C6" s="5">
        <v>153670</v>
      </c>
      <c r="D6" s="5">
        <v>146767</v>
      </c>
      <c r="F6" s="4" t="s">
        <v>12</v>
      </c>
      <c r="G6" s="5">
        <v>99210</v>
      </c>
      <c r="H6" s="5">
        <v>91094</v>
      </c>
    </row>
    <row r="7" spans="2:8" ht="45" customHeight="1" x14ac:dyDescent="0.25">
      <c r="B7" s="4" t="s">
        <v>5</v>
      </c>
      <c r="C7" s="5">
        <v>119974</v>
      </c>
      <c r="D7" s="5">
        <v>114483</v>
      </c>
      <c r="F7" s="4" t="s">
        <v>13</v>
      </c>
      <c r="G7" s="5">
        <v>53618</v>
      </c>
      <c r="H7" s="5">
        <v>49775</v>
      </c>
    </row>
    <row r="8" spans="2:8" ht="45" x14ac:dyDescent="0.25">
      <c r="B8" s="4" t="s">
        <v>6</v>
      </c>
      <c r="C8" s="5">
        <v>33696</v>
      </c>
      <c r="D8" s="5">
        <v>32284</v>
      </c>
      <c r="F8" s="4" t="s">
        <v>14</v>
      </c>
      <c r="G8" s="5">
        <v>30447</v>
      </c>
      <c r="H8" s="5">
        <v>27333</v>
      </c>
    </row>
    <row r="9" spans="2:8" ht="30" x14ac:dyDescent="0.25">
      <c r="B9" s="4" t="s">
        <v>7</v>
      </c>
      <c r="C9" s="4">
        <v>643</v>
      </c>
      <c r="D9" s="4">
        <v>534</v>
      </c>
      <c r="F9" s="4" t="s">
        <v>15</v>
      </c>
      <c r="G9" s="5">
        <v>3659</v>
      </c>
      <c r="H9" s="5">
        <v>3511</v>
      </c>
    </row>
    <row r="10" spans="2:8" ht="23.25" customHeight="1" x14ac:dyDescent="0.25">
      <c r="B10" s="4" t="s">
        <v>8</v>
      </c>
      <c r="C10" s="5">
        <v>33053</v>
      </c>
      <c r="D10" s="5">
        <v>31750</v>
      </c>
      <c r="F10" s="4" t="s">
        <v>16</v>
      </c>
      <c r="G10" s="5">
        <v>61616</v>
      </c>
      <c r="H10" s="5">
        <v>55062</v>
      </c>
    </row>
    <row r="11" spans="2:8" x14ac:dyDescent="0.25">
      <c r="B11" s="4" t="s">
        <v>9</v>
      </c>
      <c r="C11" s="5">
        <v>8399</v>
      </c>
      <c r="D11" s="5">
        <v>8186</v>
      </c>
      <c r="F11" s="4" t="s">
        <v>17</v>
      </c>
      <c r="G11" s="4" t="s">
        <v>18</v>
      </c>
      <c r="H11" s="4" t="s">
        <v>18</v>
      </c>
    </row>
    <row r="12" spans="2:8" x14ac:dyDescent="0.25">
      <c r="B12" s="4" t="s">
        <v>10</v>
      </c>
      <c r="C12" s="5">
        <v>24654</v>
      </c>
      <c r="D12" s="5">
        <v>23564</v>
      </c>
      <c r="F12" s="6"/>
      <c r="G12" s="6"/>
      <c r="H12" s="6"/>
    </row>
  </sheetData>
  <mergeCells count="3">
    <mergeCell ref="B3:D3"/>
    <mergeCell ref="F3:H3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066-6E8C-4788-A7C4-AE755F503BFF}">
  <dimension ref="A1:F10"/>
  <sheetViews>
    <sheetView workbookViewId="0">
      <selection activeCell="B16" sqref="B16"/>
    </sheetView>
  </sheetViews>
  <sheetFormatPr defaultRowHeight="15" x14ac:dyDescent="0.25"/>
  <cols>
    <col min="1" max="1" width="22.42578125" customWidth="1"/>
    <col min="2" max="2" width="48.42578125" customWidth="1"/>
  </cols>
  <sheetData>
    <row r="1" spans="1:6" x14ac:dyDescent="0.25">
      <c r="A1" s="1" t="s">
        <v>19</v>
      </c>
      <c r="B1" s="1" t="s">
        <v>20</v>
      </c>
      <c r="C1" s="1" t="s">
        <v>2</v>
      </c>
      <c r="D1" s="1" t="s">
        <v>3</v>
      </c>
      <c r="E1" s="1" t="s">
        <v>34</v>
      </c>
    </row>
    <row r="2" spans="1:6" x14ac:dyDescent="0.25">
      <c r="A2" s="1" t="s">
        <v>21</v>
      </c>
    </row>
    <row r="3" spans="1:6" x14ac:dyDescent="0.25">
      <c r="A3" s="1" t="s">
        <v>22</v>
      </c>
      <c r="B3" t="s">
        <v>23</v>
      </c>
      <c r="C3">
        <f>('Raw Data'!G7/'Raw Data'!G8)</f>
        <v>1.7610273590173087</v>
      </c>
      <c r="D3">
        <f>('Raw Data'!H7/'Raw Data'!H8)</f>
        <v>1.8210587933999196</v>
      </c>
      <c r="E3">
        <f>(C3-D3)/D3 * 100</f>
        <v>-3.2965126991057851</v>
      </c>
    </row>
    <row r="5" spans="1:6" x14ac:dyDescent="0.25">
      <c r="A5" s="1" t="s">
        <v>24</v>
      </c>
    </row>
    <row r="6" spans="1:6" x14ac:dyDescent="0.25">
      <c r="A6" s="1" t="s">
        <v>25</v>
      </c>
      <c r="B6" t="s">
        <v>26</v>
      </c>
      <c r="C6">
        <f>('Raw Data'!C12/'Raw Data'!C6*100)</f>
        <v>16.04346977288996</v>
      </c>
      <c r="D6">
        <f>('Raw Data'!D12/'Raw Data'!D6*100)</f>
        <v>16.055380296660694</v>
      </c>
      <c r="E6">
        <f t="shared" ref="E4:E10" si="0">(C6-D6)/D6 * 100</f>
        <v>-7.4184002811886002E-2</v>
      </c>
      <c r="F6" t="s">
        <v>33</v>
      </c>
    </row>
    <row r="7" spans="1:6" x14ac:dyDescent="0.25">
      <c r="A7" s="1" t="s">
        <v>27</v>
      </c>
      <c r="B7" t="s">
        <v>28</v>
      </c>
      <c r="C7">
        <f>'Raw Data'!C12/'Raw Data'!G10*100</f>
        <v>40.012334458582188</v>
      </c>
      <c r="D7">
        <f>'Raw Data'!D12/'Raw Data'!H10*100</f>
        <v>42.795394282808466</v>
      </c>
      <c r="E7">
        <f t="shared" si="0"/>
        <v>-6.5031760329972554</v>
      </c>
    </row>
    <row r="9" spans="1:6" x14ac:dyDescent="0.25">
      <c r="A9" s="1" t="s">
        <v>30</v>
      </c>
    </row>
    <row r="10" spans="1:6" x14ac:dyDescent="0.25">
      <c r="A10" s="1" t="s">
        <v>31</v>
      </c>
      <c r="B10" t="s">
        <v>32</v>
      </c>
      <c r="C10">
        <f>('Raw Data'!G9/'Raw Data'!G10)</f>
        <v>5.9383926252921319E-2</v>
      </c>
      <c r="D10">
        <f>('Raw Data'!H9/'Raw Data'!H10)</f>
        <v>6.3764483672950498E-2</v>
      </c>
      <c r="E10">
        <f t="shared" si="0"/>
        <v>-6.8699018132055425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7295-98DD-41B1-A4D2-2DCD8BF3C6B5}">
  <dimension ref="F2:R30"/>
  <sheetViews>
    <sheetView zoomScaleNormal="100" workbookViewId="0">
      <selection activeCell="L30" sqref="L30:R30"/>
    </sheetView>
  </sheetViews>
  <sheetFormatPr defaultRowHeight="15" x14ac:dyDescent="0.25"/>
  <sheetData>
    <row r="2" spans="6:13" ht="21" x14ac:dyDescent="0.35">
      <c r="F2" s="8" t="s">
        <v>35</v>
      </c>
      <c r="G2" s="8"/>
      <c r="H2" s="8"/>
      <c r="I2" s="8"/>
      <c r="J2" s="8"/>
      <c r="K2" s="8"/>
      <c r="L2" s="8"/>
      <c r="M2" s="8"/>
    </row>
    <row r="30" spans="12:18" x14ac:dyDescent="0.25">
      <c r="L30" s="9" t="s">
        <v>36</v>
      </c>
      <c r="M30" s="7"/>
      <c r="N30" s="7"/>
      <c r="O30" s="7"/>
      <c r="P30" s="7"/>
      <c r="Q30" s="7"/>
      <c r="R30" s="7"/>
    </row>
  </sheetData>
  <mergeCells count="2">
    <mergeCell ref="F2:M2"/>
    <mergeCell ref="L30:R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Ratio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 T</dc:creator>
  <cp:lastModifiedBy>Harish S T</cp:lastModifiedBy>
  <dcterms:created xsi:type="dcterms:W3CDTF">2026-06-15T09:33:41Z</dcterms:created>
  <dcterms:modified xsi:type="dcterms:W3CDTF">2026-06-15T11:07:45Z</dcterms:modified>
</cp:coreProperties>
</file>